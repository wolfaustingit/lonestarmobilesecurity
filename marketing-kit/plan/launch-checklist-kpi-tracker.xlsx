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 Checklist" sheetId="1" state="visible" r:id="rId1"/>
    <sheet xmlns:r="http://schemas.openxmlformats.org/officeDocument/2006/relationships" name="KPI Tracker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B1C33"/>
      <sz val="16"/>
    </font>
    <font>
      <name val="Arial"/>
      <i val="1"/>
      <color rgb="006B778C"/>
      <sz val="9"/>
    </font>
    <font>
      <name val="Arial"/>
      <b val="1"/>
      <color rgb="000B1C33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B1C33"/>
      </patternFill>
    </fill>
    <fill>
      <patternFill patternType="solid">
        <fgColor rgb="00F5F6F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E3E7EE"/>
      </left>
      <right style="thin">
        <color rgb="00E3E7EE"/>
      </right>
      <top style="thin">
        <color rgb="00E3E7EE"/>
      </top>
      <bottom style="thin">
        <color rgb="00E3E7E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pivotButton="0" quotePrefix="0" xfId="0"/>
    <xf numFmtId="165" fontId="5" fillId="4" borderId="1" pivotButton="0" quotePrefix="0" xfId="0"/>
    <xf numFmtId="164" fontId="5" fillId="3" borderId="1" pivotButton="0" quotePrefix="0" xfId="0"/>
    <xf numFmtId="165" fontId="5" fillId="3" borderId="1" pivotButton="0" quotePrefix="0" xfId="0"/>
    <xf numFmtId="165" fontId="6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165" fontId="7" fillId="0" borderId="0" pivotButton="0" quotePrefix="0" xfId="0"/>
    <xf numFmtId="1" fontId="7" fillId="0" borderId="0" pivotButton="0" quotePrefix="0" xfId="0"/>
    <xf numFmtId="165" fontId="8" fillId="0" borderId="0" pivotButton="0" quotePrefix="0" xfId="0"/>
    <xf numFmtId="1" fontId="8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1FAE5"/>
        </patternFill>
      </fill>
    </dxf>
    <dxf>
      <fill>
        <patternFill patternType="solid">
          <fgColor rgb="00FDE6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2" customWidth="1" min="4" max="4"/>
    <col width="12" customWidth="1" min="5" max="5"/>
    <col width="40" customWidth="1" min="6" max="6"/>
  </cols>
  <sheetData>
    <row r="1" ht="26" customHeight="1">
      <c r="A1" s="1" t="inlineStr">
        <is>
          <t>Launch Checklist</t>
        </is>
      </c>
    </row>
    <row r="2">
      <c r="A2" s="2" t="inlineStr">
        <is>
          <t>Work top to bottom. Change Status to Done as you go; the summary at the top updates automatically. Yellow cells are yours to edit.</t>
        </is>
      </c>
    </row>
    <row r="3">
      <c r="A3" s="3" t="inlineStr">
        <is>
          <t>Progress:</t>
        </is>
      </c>
      <c r="B3" s="4">
        <f>COUNTIF(E6:E28,"Done")&amp;" of "&amp;COUNTA(B6:B28)&amp;" tasks done ("&amp;TEXT(COUNTIF(E6:E28,"Done")/COUNTA(B6:B28),"0%")&amp;")"</f>
        <v/>
      </c>
    </row>
    <row r="5" ht="22" customHeight="1">
      <c r="A5" s="5" t="inlineStr">
        <is>
          <t>Phase</t>
        </is>
      </c>
      <c r="B5" s="5" t="inlineStr">
        <is>
          <t>Task</t>
        </is>
      </c>
      <c r="C5" s="5" t="inlineStr">
        <is>
          <t>Owner</t>
        </is>
      </c>
      <c r="D5" s="5" t="inlineStr">
        <is>
          <t>Due</t>
        </is>
      </c>
      <c r="E5" s="5" t="inlineStr">
        <is>
          <t>Status</t>
        </is>
      </c>
      <c r="F5" s="5" t="inlineStr">
        <is>
          <t>Notes / link</t>
        </is>
      </c>
    </row>
    <row r="6">
      <c r="A6" s="6" t="inlineStr">
        <is>
          <t>Week 1: Foundation</t>
        </is>
      </c>
      <c r="B6" s="6" t="inlineStr">
        <is>
          <t>Merge website to main and connect Cloudflare Pages; verify lonestarmobilesecurity.com loads</t>
        </is>
      </c>
      <c r="C6" s="7" t="inlineStr"/>
      <c r="D6" s="7" t="inlineStr"/>
      <c r="E6" s="7" t="inlineStr">
        <is>
          <t>Done</t>
        </is>
      </c>
      <c r="F6" s="7" t="inlineStr"/>
    </row>
    <row r="7">
      <c r="A7" s="8" t="inlineStr">
        <is>
          <t>Week 1: Foundation</t>
        </is>
      </c>
      <c r="B7" s="8" t="inlineStr">
        <is>
          <t>Set up business phone number and add it to js/config.js</t>
        </is>
      </c>
      <c r="C7" s="7" t="inlineStr"/>
      <c r="D7" s="7" t="inlineStr"/>
      <c r="E7" s="7" t="inlineStr">
        <is>
          <t>Not started</t>
        </is>
      </c>
      <c r="F7" s="7" t="inlineStr"/>
    </row>
    <row r="8">
      <c r="A8" s="6" t="inlineStr">
        <is>
          <t>Week 1: Foundation</t>
        </is>
      </c>
      <c r="B8" s="6" t="inlineStr">
        <is>
          <t>Create Cal.com event 'Lease Consultation' and paste link into js/config.js</t>
        </is>
      </c>
      <c r="C8" s="7" t="inlineStr"/>
      <c r="D8" s="7" t="inlineStr"/>
      <c r="E8" s="7" t="inlineStr">
        <is>
          <t>Not started</t>
        </is>
      </c>
      <c r="F8" s="7" t="inlineStr"/>
    </row>
    <row r="9">
      <c r="A9" s="8" t="inlineStr">
        <is>
          <t>Week 1: Foundation</t>
        </is>
      </c>
      <c r="B9" s="8" t="inlineStr">
        <is>
          <t>Enable Cloudflare Email Routing for info@lonestarmobilesecurity.com</t>
        </is>
      </c>
      <c r="C9" s="7" t="inlineStr"/>
      <c r="D9" s="7" t="inlineStr"/>
      <c r="E9" s="7" t="inlineStr">
        <is>
          <t>Not started</t>
        </is>
      </c>
      <c r="F9" s="7" t="inlineStr"/>
    </row>
    <row r="10">
      <c r="A10" s="6" t="inlineStr">
        <is>
          <t>Week 1: Foundation</t>
        </is>
      </c>
      <c r="B10" s="6" t="inlineStr">
        <is>
          <t>Install Barlow fonts; add email signature with banner</t>
        </is>
      </c>
      <c r="C10" s="7" t="inlineStr"/>
      <c r="D10" s="7" t="inlineStr"/>
      <c r="E10" s="7" t="inlineStr">
        <is>
          <t>Not started</t>
        </is>
      </c>
      <c r="F10" s="7" t="inlineStr"/>
    </row>
    <row r="11">
      <c r="A11" s="8" t="inlineStr">
        <is>
          <t>Week 1: Foundation</t>
        </is>
      </c>
      <c r="B11" s="8" t="inlineStr">
        <is>
          <t>Order business cards (250) and sell sheets (100)</t>
        </is>
      </c>
      <c r="C11" s="7" t="inlineStr"/>
      <c r="D11" s="7" t="inlineStr"/>
      <c r="E11" s="7" t="inlineStr">
        <is>
          <t>Not started</t>
        </is>
      </c>
      <c r="F11" s="7" t="inlineStr"/>
    </row>
    <row r="12">
      <c r="A12" s="6" t="inlineStr">
        <is>
          <t>Week 1: Foundation</t>
        </is>
      </c>
      <c r="B12" s="6" t="inlineStr">
        <is>
          <t>Order 2 jobsite signs per tower (aluminum + Coroplast)</t>
        </is>
      </c>
      <c r="C12" s="7" t="inlineStr"/>
      <c r="D12" s="7" t="inlineStr"/>
      <c r="E12" s="7" t="inlineStr">
        <is>
          <t>Not started</t>
        </is>
      </c>
      <c r="F12" s="7" t="inlineStr"/>
    </row>
    <row r="13">
      <c r="A13" s="8" t="inlineStr">
        <is>
          <t>Week 1: Foundation</t>
        </is>
      </c>
      <c r="B13" s="8" t="inlineStr">
        <is>
          <t>Confirm rebranded imagery use with the equipment manufacturer / reseller agreement</t>
        </is>
      </c>
      <c r="C13" s="7" t="inlineStr"/>
      <c r="D13" s="7" t="inlineStr"/>
      <c r="E13" s="7" t="inlineStr">
        <is>
          <t>Not started</t>
        </is>
      </c>
      <c r="F13" s="7" t="inlineStr"/>
    </row>
    <row r="14">
      <c r="A14" s="6" t="inlineStr">
        <is>
          <t>Week 2: Be findable</t>
        </is>
      </c>
      <c r="B14" s="6" t="inlineStr">
        <is>
          <t>Create Google Business Profile (service-area business), add photos, services, hours, booking link</t>
        </is>
      </c>
      <c r="C14" s="7" t="inlineStr"/>
      <c r="D14" s="7" t="inlineStr"/>
      <c r="E14" s="7" t="inlineStr">
        <is>
          <t>Not started</t>
        </is>
      </c>
      <c r="F14" s="7" t="inlineStr"/>
    </row>
    <row r="15">
      <c r="A15" s="8" t="inlineStr">
        <is>
          <t>Week 2: Be findable</t>
        </is>
      </c>
      <c r="B15" s="8" t="inlineStr">
        <is>
          <t>Create Facebook Page, Instagram, LinkedIn Company Page, X; upload covers and profile picture</t>
        </is>
      </c>
      <c r="C15" s="7" t="inlineStr"/>
      <c r="D15" s="7" t="inlineStr"/>
      <c r="E15" s="7" t="inlineStr">
        <is>
          <t>Not started</t>
        </is>
      </c>
      <c r="F15" s="7" t="inlineStr"/>
    </row>
    <row r="16">
      <c r="A16" s="6" t="inlineStr">
        <is>
          <t>Week 2: Be findable</t>
        </is>
      </c>
      <c r="B16" s="6" t="inlineStr">
        <is>
          <t>List on Yelp, Nextdoor Business, Bing Places, Apple Business Connect, Angi, Thumbtack</t>
        </is>
      </c>
      <c r="C16" s="7" t="inlineStr"/>
      <c r="D16" s="7" t="inlineStr"/>
      <c r="E16" s="7" t="inlineStr">
        <is>
          <t>Not started</t>
        </is>
      </c>
      <c r="F16" s="7" t="inlineStr"/>
    </row>
    <row r="17">
      <c r="A17" s="8" t="inlineStr">
        <is>
          <t>Week 2: Be findable</t>
        </is>
      </c>
      <c r="B17" s="8" t="inlineStr">
        <is>
          <t>Publish first 4 social posts (Intro, Pricing, 4K, Solar) using the caption calendar</t>
        </is>
      </c>
      <c r="C17" s="7" t="inlineStr"/>
      <c r="D17" s="7" t="inlineStr"/>
      <c r="E17" s="7" t="inlineStr">
        <is>
          <t>Not started</t>
        </is>
      </c>
      <c r="F17" s="7" t="inlineStr"/>
    </row>
    <row r="18">
      <c r="A18" s="6" t="inlineStr">
        <is>
          <t>Week 2: Be findable</t>
        </is>
      </c>
      <c r="B18" s="6" t="inlineStr">
        <is>
          <t>Send launch press release to Houston Business Journal, Realty News Report, local construction trade press</t>
        </is>
      </c>
      <c r="C18" s="7" t="inlineStr"/>
      <c r="D18" s="7" t="inlineStr"/>
      <c r="E18" s="7" t="inlineStr">
        <is>
          <t>Not started</t>
        </is>
      </c>
      <c r="F18" s="7" t="inlineStr"/>
    </row>
    <row r="19">
      <c r="A19" s="8" t="inlineStr">
        <is>
          <t>Week 3: Outbound</t>
        </is>
      </c>
      <c r="B19" s="8" t="inlineStr">
        <is>
          <t>Build target list: 50 active jobsites, 20 yards/dealerships, 10 property managers</t>
        </is>
      </c>
      <c r="C19" s="7" t="inlineStr"/>
      <c r="D19" s="7" t="inlineStr"/>
      <c r="E19" s="7" t="inlineStr">
        <is>
          <t>Not started</t>
        </is>
      </c>
      <c r="F19" s="7" t="inlineStr"/>
    </row>
    <row r="20">
      <c r="A20" s="6" t="inlineStr">
        <is>
          <t>Week 3: Outbound</t>
        </is>
      </c>
      <c r="B20" s="6" t="inlineStr">
        <is>
          <t>Drop by 25 jobsites with sell sheet + card; log contacts</t>
        </is>
      </c>
      <c r="C20" s="7" t="inlineStr"/>
      <c r="D20" s="7" t="inlineStr"/>
      <c r="E20" s="7" t="inlineStr">
        <is>
          <t>Not started</t>
        </is>
      </c>
      <c r="F20" s="7" t="inlineStr"/>
    </row>
    <row r="21">
      <c r="A21" s="8" t="inlineStr">
        <is>
          <t>Week 3: Outbound</t>
        </is>
      </c>
      <c r="B21" s="8" t="inlineStr">
        <is>
          <t>Send 50 cold emails (templates in 04 Sales Tools); schedule follow-ups</t>
        </is>
      </c>
      <c r="C21" s="7" t="inlineStr"/>
      <c r="D21" s="7" t="inlineStr"/>
      <c r="E21" s="7" t="inlineStr">
        <is>
          <t>Not started</t>
        </is>
      </c>
      <c r="F21" s="7" t="inlineStr"/>
    </row>
    <row r="22">
      <c r="A22" s="6" t="inlineStr">
        <is>
          <t>Week 3: Outbound</t>
        </is>
      </c>
      <c r="B22" s="6" t="inlineStr">
        <is>
          <t>Join AGC Houston / ABC Greater Houston / Houston Contractors Association events calendar</t>
        </is>
      </c>
      <c r="C22" s="7" t="inlineStr"/>
      <c r="D22" s="7" t="inlineStr"/>
      <c r="E22" s="7" t="inlineStr">
        <is>
          <t>Not started</t>
        </is>
      </c>
      <c r="F22" s="7" t="inlineStr"/>
    </row>
    <row r="23">
      <c r="A23" s="8" t="inlineStr">
        <is>
          <t>Week 4: Paid &amp; referrals</t>
        </is>
      </c>
      <c r="B23" s="8" t="inlineStr">
        <is>
          <t>Launch Google Search campaign ($500 to $1,500/mo) using Ad Copy Bank</t>
        </is>
      </c>
      <c r="C23" s="7" t="inlineStr"/>
      <c r="D23" s="7" t="inlineStr"/>
      <c r="E23" s="7" t="inlineStr">
        <is>
          <t>Not started</t>
        </is>
      </c>
      <c r="F23" s="7" t="inlineStr"/>
    </row>
    <row r="24">
      <c r="A24" s="6" t="inlineStr">
        <is>
          <t>Week 4: Paid &amp; referrals</t>
        </is>
      </c>
      <c r="B24" s="6" t="inlineStr">
        <is>
          <t>Launch Meta retargeting for website visitors</t>
        </is>
      </c>
      <c r="C24" s="7" t="inlineStr"/>
      <c r="D24" s="7" t="inlineStr"/>
      <c r="E24" s="7" t="inlineStr">
        <is>
          <t>Not started</t>
        </is>
      </c>
      <c r="F24" s="7" t="inlineStr"/>
    </row>
    <row r="25">
      <c r="A25" s="8" t="inlineStr">
        <is>
          <t>Week 4: Paid &amp; referrals</t>
        </is>
      </c>
      <c r="B25" s="8" t="inlineStr">
        <is>
          <t>Ask every deployed customer for a Google review and a referral</t>
        </is>
      </c>
      <c r="C25" s="7" t="inlineStr"/>
      <c r="D25" s="7" t="inlineStr"/>
      <c r="E25" s="7" t="inlineStr">
        <is>
          <t>Not started</t>
        </is>
      </c>
      <c r="F25" s="7" t="inlineStr"/>
    </row>
    <row r="26">
      <c r="A26" s="6" t="inlineStr">
        <is>
          <t>Ongoing</t>
        </is>
      </c>
      <c r="B26" s="6" t="inlineStr">
        <is>
          <t>Post 3x per week on social; 1 Google Business Profile post per week</t>
        </is>
      </c>
      <c r="C26" s="7" t="inlineStr"/>
      <c r="D26" s="7" t="inlineStr"/>
      <c r="E26" s="7" t="inlineStr">
        <is>
          <t>Not started</t>
        </is>
      </c>
      <c r="F26" s="7" t="inlineStr"/>
    </row>
    <row r="27">
      <c r="A27" s="8" t="inlineStr">
        <is>
          <t>Ongoing</t>
        </is>
      </c>
      <c r="B27" s="8" t="inlineStr">
        <is>
          <t>Photograph every new deployment; replace stock imagery with real site photos</t>
        </is>
      </c>
      <c r="C27" s="7" t="inlineStr"/>
      <c r="D27" s="7" t="inlineStr"/>
      <c r="E27" s="7" t="inlineStr">
        <is>
          <t>Not started</t>
        </is>
      </c>
      <c r="F27" s="7" t="inlineStr"/>
    </row>
    <row r="28">
      <c r="A28" s="6" t="inlineStr">
        <is>
          <t>Ongoing</t>
        </is>
      </c>
      <c r="B28" s="6" t="inlineStr">
        <is>
          <t>Review KPI Tracker every Monday; adjust budget and outreach volume</t>
        </is>
      </c>
      <c r="C28" s="7" t="inlineStr"/>
      <c r="D28" s="7" t="inlineStr"/>
      <c r="E28" s="7" t="inlineStr">
        <is>
          <t>Not started</t>
        </is>
      </c>
      <c r="F28" s="7" t="inlineStr"/>
    </row>
    <row r="30">
      <c r="A30" s="2" t="inlineStr">
        <is>
          <t>Legend: yellow cells are for you to fill in (Owner, Due, Status, Notes). Status drop-down drives the progress line above.</t>
        </is>
      </c>
    </row>
  </sheetData>
  <conditionalFormatting sqref="E6:E28">
    <cfRule type="cellIs" priority="1" operator="equal" dxfId="0">
      <formula>"Done"</formula>
    </cfRule>
    <cfRule type="cellIs" priority="2" operator="equal" dxfId="1">
      <formula>"In progress"</formula>
    </cfRule>
  </conditionalFormatting>
  <dataValidations count="1">
    <dataValidation sqref="E6:E28" showDropDown="0" showInputMessage="0" showErrorMessage="0" allowBlank="1" type="list">
      <formula1>"Not started,In progress,Done,Skipped"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3" customWidth="1" min="4" max="4"/>
    <col width="11" customWidth="1" min="5" max="5"/>
    <col width="10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0" customWidth="1" min="12" max="12"/>
    <col width="13" customWidth="1" min="13" max="13"/>
    <col width="12" customWidth="1" min="14" max="14"/>
  </cols>
  <sheetData>
    <row r="1" ht="26" customHeight="1">
      <c r="A1" s="1" t="inlineStr">
        <is>
          <t>Weekly KPI Tracker</t>
        </is>
      </c>
    </row>
    <row r="2">
      <c r="A2" s="2" t="inlineStr">
        <is>
          <t>Enter the yellow columns each Monday for the prior week. Gray columns are formulas. Row 6 is an example week; overwrite it with real numbers.</t>
        </is>
      </c>
    </row>
    <row r="5" ht="22" customHeight="1">
      <c r="A5" s="5" t="inlineStr">
        <is>
          <t>Week starting</t>
        </is>
      </c>
      <c r="B5" s="5" t="inlineStr">
        <is>
          <t>Outreach touches</t>
        </is>
      </c>
      <c r="C5" s="5" t="inlineStr">
        <is>
          <t>Consultations booked</t>
        </is>
      </c>
      <c r="D5" s="5" t="inlineStr">
        <is>
          <t>Consultations held</t>
        </is>
      </c>
      <c r="E5" s="5" t="inlineStr">
        <is>
          <t>Proposals sent</t>
        </is>
      </c>
      <c r="F5" s="5" t="inlineStr">
        <is>
          <t>Leases signed</t>
        </is>
      </c>
      <c r="G5" s="5" t="inlineStr">
        <is>
          <t>Towers deployed (new)</t>
        </is>
      </c>
      <c r="H5" s="5" t="inlineStr">
        <is>
          <t>Active towers (total)</t>
        </is>
      </c>
      <c r="I5" s="5" t="inlineStr">
        <is>
          <t>Monitored sites</t>
        </is>
      </c>
      <c r="J5" s="5" t="inlineStr">
        <is>
          <t>Ad spend ($)</t>
        </is>
      </c>
      <c r="K5" s="5" t="inlineStr">
        <is>
          <t>Booking rate</t>
        </is>
      </c>
      <c r="L5" s="5" t="inlineStr">
        <is>
          <t>Close rate</t>
        </is>
      </c>
      <c r="M5" s="5" t="inlineStr">
        <is>
          <t>Cost per lease ($)</t>
        </is>
      </c>
      <c r="N5" s="5" t="inlineStr">
        <is>
          <t>MRR ($)</t>
        </is>
      </c>
    </row>
    <row r="6">
      <c r="A6" s="9" t="inlineStr">
        <is>
          <t>2026-09-07</t>
        </is>
      </c>
      <c r="B6" s="9" t="n">
        <v>40</v>
      </c>
      <c r="C6" s="9" t="n">
        <v>5</v>
      </c>
      <c r="D6" s="9" t="n">
        <v>4</v>
      </c>
      <c r="E6" s="9" t="n">
        <v>3</v>
      </c>
      <c r="F6" s="9" t="n">
        <v>1</v>
      </c>
      <c r="G6" s="9" t="n">
        <v>1</v>
      </c>
      <c r="H6" s="9" t="n">
        <v>1</v>
      </c>
      <c r="I6" s="9" t="n">
        <v>1</v>
      </c>
      <c r="J6" s="10" t="n">
        <v>300</v>
      </c>
      <c r="K6" s="11">
        <f>IF(B6&gt;0,C6/B6,"")</f>
        <v/>
      </c>
      <c r="L6" s="11">
        <f>IF(D6&gt;0,F6/D6,"")</f>
        <v/>
      </c>
      <c r="M6" s="12">
        <f>IF(F6&gt;0,J6/F6,"")</f>
        <v/>
      </c>
      <c r="N6" s="12">
        <f>H6*Assumptions!$B$3+I6*Assumptions!$B$4</f>
        <v/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10" t="n"/>
      <c r="K7" s="11">
        <f>IF(B7&gt;0,C7/B7,"")</f>
        <v/>
      </c>
      <c r="L7" s="11">
        <f>IF(D7&gt;0,F7/D7,"")</f>
        <v/>
      </c>
      <c r="M7" s="12">
        <f>IF(F7&gt;0,J7/F7,"")</f>
        <v/>
      </c>
      <c r="N7" s="12">
        <f>H7*Assumptions!$B$3+I7*Assumptions!$B$4</f>
        <v/>
      </c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10" t="n"/>
      <c r="K8" s="11">
        <f>IF(B8&gt;0,C8/B8,"")</f>
        <v/>
      </c>
      <c r="L8" s="11">
        <f>IF(D8&gt;0,F8/D8,"")</f>
        <v/>
      </c>
      <c r="M8" s="12">
        <f>IF(F8&gt;0,J8/F8,"")</f>
        <v/>
      </c>
      <c r="N8" s="12">
        <f>H8*Assumptions!$B$3+I8*Assumptions!$B$4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10" t="n"/>
      <c r="K9" s="11">
        <f>IF(B9&gt;0,C9/B9,"")</f>
        <v/>
      </c>
      <c r="L9" s="11">
        <f>IF(D9&gt;0,F9/D9,"")</f>
        <v/>
      </c>
      <c r="M9" s="12">
        <f>IF(F9&gt;0,J9/F9,"")</f>
        <v/>
      </c>
      <c r="N9" s="12">
        <f>H9*Assumptions!$B$3+I9*Assumptions!$B$4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10" t="n"/>
      <c r="K10" s="11">
        <f>IF(B10&gt;0,C10/B10,"")</f>
        <v/>
      </c>
      <c r="L10" s="11">
        <f>IF(D10&gt;0,F10/D10,"")</f>
        <v/>
      </c>
      <c r="M10" s="12">
        <f>IF(F10&gt;0,J10/F10,"")</f>
        <v/>
      </c>
      <c r="N10" s="12">
        <f>H10*Assumptions!$B$3+I10*Assumptions!$B$4</f>
        <v/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10" t="n"/>
      <c r="K11" s="11">
        <f>IF(B11&gt;0,C11/B11,"")</f>
        <v/>
      </c>
      <c r="L11" s="11">
        <f>IF(D11&gt;0,F11/D11,"")</f>
        <v/>
      </c>
      <c r="M11" s="12">
        <f>IF(F11&gt;0,J11/F11,"")</f>
        <v/>
      </c>
      <c r="N11" s="12">
        <f>H11*Assumptions!$B$3+I11*Assumptions!$B$4</f>
        <v/>
      </c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0" t="n"/>
      <c r="K12" s="11">
        <f>IF(B12&gt;0,C12/B12,"")</f>
        <v/>
      </c>
      <c r="L12" s="11">
        <f>IF(D12&gt;0,F12/D12,"")</f>
        <v/>
      </c>
      <c r="M12" s="12">
        <f>IF(F12&gt;0,J12/F12,"")</f>
        <v/>
      </c>
      <c r="N12" s="12">
        <f>H12*Assumptions!$B$3+I12*Assumptions!$B$4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0" t="n"/>
      <c r="K13" s="11">
        <f>IF(B13&gt;0,C13/B13,"")</f>
        <v/>
      </c>
      <c r="L13" s="11">
        <f>IF(D13&gt;0,F13/D13,"")</f>
        <v/>
      </c>
      <c r="M13" s="12">
        <f>IF(F13&gt;0,J13/F13,"")</f>
        <v/>
      </c>
      <c r="N13" s="12">
        <f>H13*Assumptions!$B$3+I13*Assumptions!$B$4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0" t="n"/>
      <c r="K14" s="11">
        <f>IF(B14&gt;0,C14/B14,"")</f>
        <v/>
      </c>
      <c r="L14" s="11">
        <f>IF(D14&gt;0,F14/D14,"")</f>
        <v/>
      </c>
      <c r="M14" s="12">
        <f>IF(F14&gt;0,J14/F14,"")</f>
        <v/>
      </c>
      <c r="N14" s="12">
        <f>H14*Assumptions!$B$3+I14*Assumptions!$B$4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0" t="n"/>
      <c r="K15" s="11">
        <f>IF(B15&gt;0,C15/B15,"")</f>
        <v/>
      </c>
      <c r="L15" s="11">
        <f>IF(D15&gt;0,F15/D15,"")</f>
        <v/>
      </c>
      <c r="M15" s="12">
        <f>IF(F15&gt;0,J15/F15,"")</f>
        <v/>
      </c>
      <c r="N15" s="12">
        <f>H15*Assumptions!$B$3+I15*Assumptions!$B$4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10" t="n"/>
      <c r="K16" s="11">
        <f>IF(B16&gt;0,C16/B16,"")</f>
        <v/>
      </c>
      <c r="L16" s="11">
        <f>IF(D16&gt;0,F16/D16,"")</f>
        <v/>
      </c>
      <c r="M16" s="12">
        <f>IF(F16&gt;0,J16/F16,"")</f>
        <v/>
      </c>
      <c r="N16" s="12">
        <f>H16*Assumptions!$B$3+I16*Assumptions!$B$4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0" t="n"/>
      <c r="K17" s="11">
        <f>IF(B17&gt;0,C17/B17,"")</f>
        <v/>
      </c>
      <c r="L17" s="11">
        <f>IF(D17&gt;0,F17/D17,"")</f>
        <v/>
      </c>
      <c r="M17" s="12">
        <f>IF(F17&gt;0,J17/F17,"")</f>
        <v/>
      </c>
      <c r="N17" s="12">
        <f>H17*Assumptions!$B$3+I17*Assumptions!$B$4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10" t="n"/>
      <c r="K18" s="11">
        <f>IF(B18&gt;0,C18/B18,"")</f>
        <v/>
      </c>
      <c r="L18" s="11">
        <f>IF(D18&gt;0,F18/D18,"")</f>
        <v/>
      </c>
      <c r="M18" s="12">
        <f>IF(F18&gt;0,J18/F18,"")</f>
        <v/>
      </c>
      <c r="N18" s="12">
        <f>H18*Assumptions!$B$3+I18*Assumptions!$B$4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10" t="n"/>
      <c r="K19" s="11">
        <f>IF(B19&gt;0,C19/B19,"")</f>
        <v/>
      </c>
      <c r="L19" s="11">
        <f>IF(D19&gt;0,F19/D19,"")</f>
        <v/>
      </c>
      <c r="M19" s="12">
        <f>IF(F19&gt;0,J19/F19,"")</f>
        <v/>
      </c>
      <c r="N19" s="12">
        <f>H19*Assumptions!$B$3+I19*Assumptions!$B$4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10" t="n"/>
      <c r="K20" s="11">
        <f>IF(B20&gt;0,C20/B20,"")</f>
        <v/>
      </c>
      <c r="L20" s="11">
        <f>IF(D20&gt;0,F20/D20,"")</f>
        <v/>
      </c>
      <c r="M20" s="12">
        <f>IF(F20&gt;0,J20/F20,"")</f>
        <v/>
      </c>
      <c r="N20" s="12">
        <f>H20*Assumptions!$B$3+I20*Assumptions!$B$4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10" t="n"/>
      <c r="K21" s="11">
        <f>IF(B21&gt;0,C21/B21,"")</f>
        <v/>
      </c>
      <c r="L21" s="11">
        <f>IF(D21&gt;0,F21/D21,"")</f>
        <v/>
      </c>
      <c r="M21" s="12">
        <f>IF(F21&gt;0,J21/F21,"")</f>
        <v/>
      </c>
      <c r="N21" s="12">
        <f>H21*Assumptions!$B$3+I21*Assumptions!$B$4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10" t="n"/>
      <c r="K22" s="11">
        <f>IF(B22&gt;0,C22/B22,"")</f>
        <v/>
      </c>
      <c r="L22" s="11">
        <f>IF(D22&gt;0,F22/D22,"")</f>
        <v/>
      </c>
      <c r="M22" s="12">
        <f>IF(F22&gt;0,J22/F22,"")</f>
        <v/>
      </c>
      <c r="N22" s="12">
        <f>H22*Assumptions!$B$3+I22*Assumptions!$B$4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10" t="n"/>
      <c r="K23" s="11">
        <f>IF(B23&gt;0,C23/B23,"")</f>
        <v/>
      </c>
      <c r="L23" s="11">
        <f>IF(D23&gt;0,F23/D23,"")</f>
        <v/>
      </c>
      <c r="M23" s="12">
        <f>IF(F23&gt;0,J23/F23,"")</f>
        <v/>
      </c>
      <c r="N23" s="12">
        <f>H23*Assumptions!$B$3+I23*Assumptions!$B$4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10" t="n"/>
      <c r="K24" s="11">
        <f>IF(B24&gt;0,C24/B24,"")</f>
        <v/>
      </c>
      <c r="L24" s="11">
        <f>IF(D24&gt;0,F24/D24,"")</f>
        <v/>
      </c>
      <c r="M24" s="12">
        <f>IF(F24&gt;0,J24/F24,"")</f>
        <v/>
      </c>
      <c r="N24" s="12">
        <f>H24*Assumptions!$B$3+I24*Assumptions!$B$4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10" t="n"/>
      <c r="K25" s="11">
        <f>IF(B25&gt;0,C25/B25,"")</f>
        <v/>
      </c>
      <c r="L25" s="11">
        <f>IF(D25&gt;0,F25/D25,"")</f>
        <v/>
      </c>
      <c r="M25" s="12">
        <f>IF(F25&gt;0,J25/F25,"")</f>
        <v/>
      </c>
      <c r="N25" s="12">
        <f>H25*Assumptions!$B$3+I25*Assumptions!$B$4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10" t="n"/>
      <c r="K26" s="11">
        <f>IF(B26&gt;0,C26/B26,"")</f>
        <v/>
      </c>
      <c r="L26" s="11">
        <f>IF(D26&gt;0,F26/D26,"")</f>
        <v/>
      </c>
      <c r="M26" s="12">
        <f>IF(F26&gt;0,J26/F26,"")</f>
        <v/>
      </c>
      <c r="N26" s="12">
        <f>H26*Assumptions!$B$3+I26*Assumptions!$B$4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10" t="n"/>
      <c r="K27" s="11">
        <f>IF(B27&gt;0,C27/B27,"")</f>
        <v/>
      </c>
      <c r="L27" s="11">
        <f>IF(D27&gt;0,F27/D27,"")</f>
        <v/>
      </c>
      <c r="M27" s="12">
        <f>IF(F27&gt;0,J27/F27,"")</f>
        <v/>
      </c>
      <c r="N27" s="12">
        <f>H27*Assumptions!$B$3+I27*Assumptions!$B$4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10" t="n"/>
      <c r="K28" s="11">
        <f>IF(B28&gt;0,C28/B28,"")</f>
        <v/>
      </c>
      <c r="L28" s="11">
        <f>IF(D28&gt;0,F28/D28,"")</f>
        <v/>
      </c>
      <c r="M28" s="12">
        <f>IF(F28&gt;0,J28/F28,"")</f>
        <v/>
      </c>
      <c r="N28" s="12">
        <f>H28*Assumptions!$B$3+I28*Assumptions!$B$4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10" t="n"/>
      <c r="K29" s="11">
        <f>IF(B29&gt;0,C29/B29,"")</f>
        <v/>
      </c>
      <c r="L29" s="11">
        <f>IF(D29&gt;0,F29/D29,"")</f>
        <v/>
      </c>
      <c r="M29" s="12">
        <f>IF(F29&gt;0,J29/F29,"")</f>
        <v/>
      </c>
      <c r="N29" s="12">
        <f>H29*Assumptions!$B$3+I29*Assumptions!$B$4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10" t="n"/>
      <c r="K30" s="11">
        <f>IF(B30&gt;0,C30/B30,"")</f>
        <v/>
      </c>
      <c r="L30" s="11">
        <f>IF(D30&gt;0,F30/D30,"")</f>
        <v/>
      </c>
      <c r="M30" s="12">
        <f>IF(F30&gt;0,J30/F30,"")</f>
        <v/>
      </c>
      <c r="N30" s="12">
        <f>H30*Assumptions!$B$3+I30*Assumptions!$B$4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10" t="n"/>
      <c r="K31" s="11">
        <f>IF(B31&gt;0,C31/B31,"")</f>
        <v/>
      </c>
      <c r="L31" s="11">
        <f>IF(D31&gt;0,F31/D31,"")</f>
        <v/>
      </c>
      <c r="M31" s="12">
        <f>IF(F31&gt;0,J31/F31,"")</f>
        <v/>
      </c>
      <c r="N31" s="12">
        <f>H31*Assumptions!$B$3+I31*Assumptions!$B$4</f>
        <v/>
      </c>
    </row>
    <row r="33">
      <c r="A33" s="3" t="inlineStr">
        <is>
          <t>Totals / averages</t>
        </is>
      </c>
      <c r="B33" s="4">
        <f>SUM(B6:B31)</f>
        <v/>
      </c>
      <c r="C33" s="4">
        <f>SUM(C6:C31)</f>
        <v/>
      </c>
      <c r="D33" s="4">
        <f>SUM(D6:D31)</f>
        <v/>
      </c>
      <c r="E33" s="4">
        <f>SUM(E6:E31)</f>
        <v/>
      </c>
      <c r="F33" s="4">
        <f>SUM(F6:F31)</f>
        <v/>
      </c>
      <c r="G33" s="4">
        <f>SUM(G6:G31)</f>
        <v/>
      </c>
      <c r="J33" s="13">
        <f>SUM(J6:J31)</f>
        <v/>
      </c>
      <c r="K33" s="14">
        <f>IF(B33&gt;0,C33/B33,"")</f>
        <v/>
      </c>
      <c r="L33" s="14">
        <f>IF(D33&gt;0,F33/D33,"")</f>
        <v/>
      </c>
      <c r="M33" s="15">
        <f>IF(F33&gt;0,J33/F33,"")</f>
        <v/>
      </c>
    </row>
    <row r="35">
      <c r="A35" s="2" t="inlineStr">
        <is>
          <t>Benchmarks to aim for in the first 90 days: booking rate 10% of outreach touches, close rate 35% of consultations held, cost per lease under $600 in paid channels. Source: Lonestar planning assumptions, adjust to your actuals.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 ht="26" customHeight="1">
      <c r="A1" s="1" t="inlineStr">
        <is>
          <t>Assumptions</t>
        </is>
      </c>
    </row>
    <row r="2">
      <c r="A2" s="2" t="inlineStr">
        <is>
          <t>Blue values are inputs used by the KPI Tracker formulas.</t>
        </is>
      </c>
    </row>
    <row r="3">
      <c r="A3" s="16" t="inlineStr">
        <is>
          <t>Tower monthly rate ($)</t>
        </is>
      </c>
      <c r="B3" s="17" t="n">
        <v>750</v>
      </c>
    </row>
    <row r="4">
      <c r="A4" s="16" t="inlineStr">
        <is>
          <t>Monitoring monthly rate per site ($)</t>
        </is>
      </c>
      <c r="B4" s="17" t="n">
        <v>150</v>
      </c>
    </row>
    <row r="5">
      <c r="A5" s="16" t="inlineStr">
        <is>
          <t>Guard comparison: hourly rate ($)</t>
        </is>
      </c>
      <c r="B5" s="17" t="n">
        <v>25</v>
      </c>
    </row>
    <row r="6">
      <c r="A6" s="16" t="inlineStr">
        <is>
          <t>Guard hours per night</t>
        </is>
      </c>
      <c r="B6" s="18" t="n">
        <v>12</v>
      </c>
    </row>
    <row r="7">
      <c r="A7" s="16" t="inlineStr">
        <is>
          <t>Nights per month</t>
        </is>
      </c>
      <c r="B7" s="18" t="n">
        <v>30</v>
      </c>
    </row>
    <row r="8">
      <c r="A8" s="16" t="inlineStr">
        <is>
          <t>Guard monthly cost ($)</t>
        </is>
      </c>
      <c r="B8" s="19">
        <f>B5*B6*B7</f>
        <v/>
      </c>
    </row>
    <row r="9">
      <c r="A9" s="16" t="n"/>
      <c r="B9" s="20" t="n"/>
    </row>
    <row r="10">
      <c r="A10" s="16" t="inlineStr">
        <is>
          <t>Break-even towers for a $1,500/mo ad budget</t>
        </is>
      </c>
      <c r="B10" s="21">
        <f>1500/(B3+B4)</f>
        <v/>
      </c>
    </row>
    <row r="12">
      <c r="A12" s="2" t="inlineStr">
        <is>
          <t>Source: pricing set by Lonestar Mobile Security (Sept 2026). Guard rate is a planning assumption; replace with a real quote from a Houston guard service.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2026-09-04T17:04:30Z</dcterms:created>
  <dcterms:modified xmlns:dcterms="http://purl.org/dc/terms/" xmlns:xsi="http://www.w3.org/2001/XMLSchema-instance" xsi:type="dcterms:W3CDTF">2026-09-04T17:04:30Z</dcterms:modified>
</cp:coreProperties>
</file>